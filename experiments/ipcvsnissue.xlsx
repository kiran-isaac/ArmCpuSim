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6"/>
  <workbookPr/>
  <mc:AlternateContent xmlns:mc="http://schemas.openxmlformats.org/markup-compatibility/2006">
    <mc:Choice Requires="x15">
      <x15ac:absPath xmlns:x15ac="http://schemas.microsoft.com/office/spreadsheetml/2010/11/ac" url="C:\Users\kiran\Documents\Dev\ACA\experiments\"/>
    </mc:Choice>
  </mc:AlternateContent>
  <xr:revisionPtr revIDLastSave="0" documentId="8_{24E0068D-5824-438C-977C-C5B6F929C65B}" xr6:coauthVersionLast="47" xr6:coauthVersionMax="47" xr10:uidLastSave="{00000000-0000-0000-0000-000000000000}"/>
  <bookViews>
    <workbookView xWindow="38280" yWindow="-1110" windowWidth="29040" windowHeight="15720" xr2:uid="{9195A171-C11F-4EB8-9CAF-F87483938EA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" i="1" l="1"/>
  <c r="J58" i="1"/>
  <c r="I58" i="1"/>
  <c r="K58" i="1"/>
  <c r="I59" i="1"/>
  <c r="I57" i="1"/>
</calcChain>
</file>

<file path=xl/sharedStrings.xml><?xml version="1.0" encoding="utf-8"?>
<sst xmlns="http://schemas.openxmlformats.org/spreadsheetml/2006/main" count="80" uniqueCount="19">
  <si>
    <t>Benchmark</t>
  </si>
  <si>
    <t>N_ISSUE</t>
  </si>
  <si>
    <t>IPC</t>
  </si>
  <si>
    <t>matmul</t>
  </si>
  <si>
    <t>Done with no limit on CDB, 2 LS, 2 ALU, 1, MULS, 1 CNTRL, always taken branch pred</t>
  </si>
  <si>
    <t>fac</t>
  </si>
  <si>
    <t>bubble</t>
  </si>
  <si>
    <t>makelist</t>
  </si>
  <si>
    <t>fib</t>
  </si>
  <si>
    <t>Algorithm</t>
  </si>
  <si>
    <t>Stall</t>
  </si>
  <si>
    <t>Never Taken</t>
  </si>
  <si>
    <t>Always Taken</t>
  </si>
  <si>
    <t>OneBit</t>
  </si>
  <si>
    <t>TwoBit</t>
  </si>
  <si>
    <t>ThreeBit</t>
  </si>
  <si>
    <t>Accuracy</t>
  </si>
  <si>
    <t>Untaken</t>
  </si>
  <si>
    <t>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</si>
</sst>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6" fillId="7" borderId="0" applyNumberFormat="0" applyBorder="0" applyProtection="0"/>
    <xf numFmtId="0" fontId="4" fillId="5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2" fillId="0" borderId="0" applyNumberFormat="0" applyFill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Protection="0"/>
    <xf numFmtId="0" fontId="5" fillId="0" borderId="0" applyNumberFormat="0" applyFill="0" applyBorder="0" applyProtection="0"/>
    <xf numFmtId="0" fontId="7" fillId="0" borderId="0" applyNumberFormat="0" applyFill="0" applyBorder="0" applyProtection="0"/>
    <xf numFmtId="0" fontId="10" fillId="0" borderId="0" applyNumberFormat="0" applyFill="0" applyBorder="0" applyProtection="0"/>
    <xf numFmtId="0" fontId="13" fillId="0" borderId="0" applyNumberFormat="0" applyFill="0" applyBorder="0" applyProtection="0"/>
    <xf numFmtId="0" fontId="1" fillId="0" borderId="0" applyNumberFormat="0" applyFont="0" applyFill="0" applyBorder="0" applyProtection="0"/>
    <xf numFmtId="0" fontId="1" fillId="0" borderId="0" applyNumberFormat="0" applyFont="0" applyFill="0" applyBorder="0" applyProtection="0"/>
    <xf numFmtId="0" fontId="4" fillId="0" borderId="0" applyNumberFormat="0" applyFill="0" applyBorder="0" applyProtection="0"/>
  </cellStyleXfs>
  <cellXfs count="3">
    <xf numFmtId="0" fontId="0" fillId="0" borderId="0" xfId="0"/>
    <xf numFmtId="0" fontId="1" fillId="0" borderId="0" xfId="11"/>
    <xf numFmtId="0" fontId="1" fillId="0" borderId="0" xfId="11" applyAlignment="1"/>
  </cellXfs>
  <cellStyles count="20">
    <cellStyle name="Accent" xfId="7" xr:uid="{EF3FFBCE-E969-47BC-8EC3-DF32D522EB92}"/>
    <cellStyle name="Accent 1" xfId="8" xr:uid="{333C4C69-FA16-49A1-8BAE-20493B92396C}"/>
    <cellStyle name="Accent 2" xfId="9" xr:uid="{77F60624-D2E2-4531-A05C-E2CD7D5ED606}"/>
    <cellStyle name="Accent 3" xfId="10" xr:uid="{BB3B5D2B-9E94-40E7-AFE4-6FAD61DE0398}"/>
    <cellStyle name="Bad" xfId="4" builtinId="27" customBuiltin="1"/>
    <cellStyle name="Default" xfId="11" xr:uid="{80AE01C1-9061-42A9-9FDD-2C591DBF17AF}"/>
    <cellStyle name="Error" xfId="12" xr:uid="{1C9BFBD8-AC87-4B61-8154-E83B6EA24A20}"/>
    <cellStyle name="Footnote" xfId="13" xr:uid="{067B462D-D059-44E7-8A8B-6ABD8D5ABC38}"/>
    <cellStyle name="Good" xfId="3" builtinId="26" customBuiltin="1"/>
    <cellStyle name="Heading" xfId="14" xr:uid="{ABC0170A-182B-4885-ADD5-E22DBDCB2E71}"/>
    <cellStyle name="Heading 1" xfId="1" builtinId="16" customBuiltin="1"/>
    <cellStyle name="Heading 2" xfId="2" builtinId="17" customBuiltin="1"/>
    <cellStyle name="Hyperlink" xfId="15" xr:uid="{EC7C6CB7-1A4A-41C0-82CA-787BE9956D88}"/>
    <cellStyle name="Neutral" xfId="5" builtinId="28" customBuiltin="1"/>
    <cellStyle name="Normal" xfId="0" builtinId="0" customBuiltin="1"/>
    <cellStyle name="Note" xfId="6" builtinId="10" customBuiltin="1"/>
    <cellStyle name="Result" xfId="16" xr:uid="{9B6940A7-2096-4583-8CA3-6096476969FC}"/>
    <cellStyle name="Status" xfId="17" xr:uid="{6DE6360A-A567-484F-BD77-C879FA9A2BBF}"/>
    <cellStyle name="Text" xfId="18" xr:uid="{10231229-2464-4227-8626-D5B01E9A97DF}"/>
    <cellStyle name="Warning" xfId="19" xr:uid="{5031174B-AA7B-4789-A95D-19A54EEA8F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Sheet1!$A$22:$A$22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Sheet1!$B$22:$D$22</c:f>
              <c:numCache>
                <c:formatCode>General</c:formatCode>
                <c:ptCount val="3"/>
                <c:pt idx="0">
                  <c:v>1.5830658308263701</c:v>
                </c:pt>
                <c:pt idx="1">
                  <c:v>1.17452830188679</c:v>
                </c:pt>
                <c:pt idx="2">
                  <c:v>0.913011152416357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0-4F0E-9B92-AAE7B3BB91A8}"/>
            </c:ext>
          </c:extLst>
        </c:ser>
        <c:ser>
          <c:idx val="1"/>
          <c:order val="1"/>
          <c:tx>
            <c:strRef>
              <c:f>Sheet1!$A$21:$A$21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BF0041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Sheet1!$B$21:$D$21</c:f>
              <c:numCache>
                <c:formatCode>General</c:formatCode>
                <c:ptCount val="3"/>
                <c:pt idx="0">
                  <c:v>1.5571010375912799</c:v>
                </c:pt>
                <c:pt idx="1">
                  <c:v>1.0779220779220799</c:v>
                </c:pt>
                <c:pt idx="2">
                  <c:v>0.90493736182756102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80-4F0E-9B92-AAE7B3BB91A8}"/>
            </c:ext>
          </c:extLst>
        </c:ser>
        <c:ser>
          <c:idx val="2"/>
          <c:order val="2"/>
          <c:tx>
            <c:strRef>
              <c:f>Sheet1!$A$20:$A$20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55215B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Sheet1!$B$20:$D$20</c:f>
              <c:numCache>
                <c:formatCode>General</c:formatCode>
                <c:ptCount val="3"/>
                <c:pt idx="0">
                  <c:v>1.52254873436136</c:v>
                </c:pt>
                <c:pt idx="1">
                  <c:v>0.91881918819188202</c:v>
                </c:pt>
                <c:pt idx="2">
                  <c:v>0.81029363246453301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80-4F0E-9B92-AAE7B3BB91A8}"/>
            </c:ext>
          </c:extLst>
        </c:ser>
        <c:ser>
          <c:idx val="3"/>
          <c:order val="3"/>
          <c:tx>
            <c:strRef>
              <c:f>Sheet1!$A$19:$A$19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0000FF"/>
            </a:solidFill>
            <a:ln>
              <a:noFill/>
            </a:ln>
          </c:spPr>
          <c:invertIfNegative val="0"/>
          <c:cat>
            <c:strRef>
              <c:f>Sheet1!$B$18:$D$18</c:f>
              <c:strCache>
                <c:ptCount val="3"/>
                <c:pt idx="0">
                  <c:v>matmul</c:v>
                </c:pt>
                <c:pt idx="1">
                  <c:v>fac</c:v>
                </c:pt>
                <c:pt idx="2">
                  <c:v>bubble</c:v>
                </c:pt>
              </c:strCache>
            </c:strRef>
          </c:cat>
          <c:val>
            <c:numRef>
              <c:f>Sheet1!$B$19:$D$19</c:f>
              <c:numCache>
                <c:formatCode>General</c:formatCode>
                <c:ptCount val="3"/>
                <c:pt idx="0">
                  <c:v>0.87900335946248598</c:v>
                </c:pt>
                <c:pt idx="1">
                  <c:v>0.69553072625698298</c:v>
                </c:pt>
                <c:pt idx="2">
                  <c:v>0.67324561403508798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80-4F0E-9B92-AAE7B3BB9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54288"/>
        <c:axId val="371353328"/>
      </c:barChart>
      <c:valAx>
        <c:axId val="37135332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US"/>
          </a:p>
        </c:txPr>
        <c:crossAx val="371354288"/>
        <c:crossesAt val="0"/>
        <c:crossBetween val="between"/>
      </c:valAx>
      <c:catAx>
        <c:axId val="3713542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US"/>
          </a:p>
        </c:txPr>
        <c:crossAx val="371353328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1000" b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 width vs IPC (makelist excluded)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Sheet1!$C$26</c:f>
              <c:strCache>
                <c:ptCount val="1"/>
                <c:pt idx="0">
                  <c:v>bubble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Sheet1!$C$27:$C$34</c:f>
              <c:numCache>
                <c:formatCode>General</c:formatCode>
                <c:ptCount val="8"/>
                <c:pt idx="0">
                  <c:v>0.67418660015871201</c:v>
                </c:pt>
                <c:pt idx="1">
                  <c:v>0.820219295221019</c:v>
                </c:pt>
                <c:pt idx="2">
                  <c:v>0.89596986817325797</c:v>
                </c:pt>
                <c:pt idx="3">
                  <c:v>0.89623992163363697</c:v>
                </c:pt>
                <c:pt idx="4">
                  <c:v>0.90483073411943704</c:v>
                </c:pt>
                <c:pt idx="5">
                  <c:v>0.90524393028388705</c:v>
                </c:pt>
                <c:pt idx="6">
                  <c:v>0.90517503805175004</c:v>
                </c:pt>
                <c:pt idx="7">
                  <c:v>0.90517503805175004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A-41FF-AEE4-72EFC8180F2A}"/>
            </c:ext>
          </c:extLst>
        </c:ser>
        <c:ser>
          <c:idx val="1"/>
          <c:order val="1"/>
          <c:tx>
            <c:strRef>
              <c:f>Sheet1!$D$26</c:f>
              <c:strCache>
                <c:ptCount val="1"/>
                <c:pt idx="0">
                  <c:v>fac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Sheet1!$D$27:$D$34</c:f>
              <c:numCache>
                <c:formatCode>General</c:formatCode>
                <c:ptCount val="8"/>
                <c:pt idx="0">
                  <c:v>0.62650602409638501</c:v>
                </c:pt>
                <c:pt idx="1">
                  <c:v>0.85245901639344202</c:v>
                </c:pt>
                <c:pt idx="2">
                  <c:v>0.86666666666666603</c:v>
                </c:pt>
                <c:pt idx="3">
                  <c:v>0.88135593220338904</c:v>
                </c:pt>
                <c:pt idx="4">
                  <c:v>0.89655172413793105</c:v>
                </c:pt>
                <c:pt idx="5">
                  <c:v>0.89655172413793105</c:v>
                </c:pt>
                <c:pt idx="6">
                  <c:v>0.89655172413793105</c:v>
                </c:pt>
                <c:pt idx="7">
                  <c:v>0.89655172413793105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FA-41FF-AEE4-72EFC8180F2A}"/>
            </c:ext>
          </c:extLst>
        </c:ser>
        <c:ser>
          <c:idx val="2"/>
          <c:order val="2"/>
          <c:tx>
            <c:strRef>
              <c:f>Sheet1!$E$26</c:f>
              <c:strCache>
                <c:ptCount val="1"/>
                <c:pt idx="0">
                  <c:v>matmul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Sheet1!$E$27:$E$34</c:f>
              <c:numCache>
                <c:formatCode>General</c:formatCode>
                <c:ptCount val="8"/>
                <c:pt idx="0">
                  <c:v>0.87573447378207503</c:v>
                </c:pt>
                <c:pt idx="1">
                  <c:v>1.5225733451871</c:v>
                </c:pt>
                <c:pt idx="2">
                  <c:v>1.5522816037969001</c:v>
                </c:pt>
                <c:pt idx="3">
                  <c:v>1.55269100799472</c:v>
                </c:pt>
                <c:pt idx="4">
                  <c:v>1.55269100799472</c:v>
                </c:pt>
                <c:pt idx="5">
                  <c:v>1.5629967642910401</c:v>
                </c:pt>
                <c:pt idx="6">
                  <c:v>1.5629967642910401</c:v>
                </c:pt>
                <c:pt idx="7">
                  <c:v>1.5629967642910401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FA-41FF-AEE4-72EFC8180F2A}"/>
            </c:ext>
          </c:extLst>
        </c:ser>
        <c:ser>
          <c:idx val="3"/>
          <c:order val="3"/>
          <c:tx>
            <c:strRef>
              <c:f>Sheet1!$F$26</c:f>
              <c:strCache>
                <c:ptCount val="1"/>
                <c:pt idx="0">
                  <c:v>fib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Sheet1!$F$27:$F$34</c:f>
              <c:numCache>
                <c:formatCode>General</c:formatCode>
                <c:ptCount val="8"/>
                <c:pt idx="0">
                  <c:v>0.75659524035800696</c:v>
                </c:pt>
                <c:pt idx="1">
                  <c:v>1.0259483307559301</c:v>
                </c:pt>
                <c:pt idx="2">
                  <c:v>1.0684882839638701</c:v>
                </c:pt>
                <c:pt idx="3">
                  <c:v>1.07019499928832</c:v>
                </c:pt>
                <c:pt idx="4">
                  <c:v>1.1147177768076999</c:v>
                </c:pt>
                <c:pt idx="5">
                  <c:v>1.1156274729622699</c:v>
                </c:pt>
                <c:pt idx="6">
                  <c:v>1.1156274729622699</c:v>
                </c:pt>
                <c:pt idx="7">
                  <c:v>1.1156274729622699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FA-41FF-AEE4-72EFC8180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96639"/>
        <c:axId val="422091839"/>
      </c:lineChart>
      <c:catAx>
        <c:axId val="422096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Issue 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1839"/>
        <c:crosses val="autoZero"/>
        <c:auto val="1"/>
        <c:lblAlgn val="ctr"/>
        <c:lblOffset val="100"/>
        <c:noMultiLvlLbl val="0"/>
      </c:catAx>
      <c:valAx>
        <c:axId val="42209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19752454215955"/>
          <c:y val="0.2362780985694741"/>
          <c:w val="0.1613206095390752"/>
          <c:h val="0.481354531951731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 width vs IPC (makelist included)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makelist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Sheet1!$B$27:$B$34</c:f>
              <c:numCache>
                <c:formatCode>General</c:formatCode>
                <c:ptCount val="8"/>
                <c:pt idx="0">
                  <c:v>0.99980486993461504</c:v>
                </c:pt>
                <c:pt idx="1">
                  <c:v>1.99902143880474</c:v>
                </c:pt>
                <c:pt idx="2">
                  <c:v>2.9976023094555302</c:v>
                </c:pt>
                <c:pt idx="3">
                  <c:v>3.9954874338455202</c:v>
                </c:pt>
                <c:pt idx="4">
                  <c:v>4.9927477196849797</c:v>
                </c:pt>
                <c:pt idx="5">
                  <c:v>5.9895176590077197</c:v>
                </c:pt>
                <c:pt idx="6">
                  <c:v>6.9856287157480601</c:v>
                </c:pt>
                <c:pt idx="7">
                  <c:v>7.9809764567693096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75-4494-808B-F3561CED527A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bubble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Sheet1!$C$27:$C$34</c:f>
              <c:numCache>
                <c:formatCode>General</c:formatCode>
                <c:ptCount val="8"/>
                <c:pt idx="0">
                  <c:v>0.67418660015871201</c:v>
                </c:pt>
                <c:pt idx="1">
                  <c:v>0.820219295221019</c:v>
                </c:pt>
                <c:pt idx="2">
                  <c:v>0.89596986817325797</c:v>
                </c:pt>
                <c:pt idx="3">
                  <c:v>0.89623992163363697</c:v>
                </c:pt>
                <c:pt idx="4">
                  <c:v>0.90483073411943704</c:v>
                </c:pt>
                <c:pt idx="5">
                  <c:v>0.90524393028388705</c:v>
                </c:pt>
                <c:pt idx="6">
                  <c:v>0.90517503805175004</c:v>
                </c:pt>
                <c:pt idx="7">
                  <c:v>0.90517503805175004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75-4494-808B-F3561CED527A}"/>
            </c:ext>
          </c:extLst>
        </c:ser>
        <c:ser>
          <c:idx val="2"/>
          <c:order val="2"/>
          <c:tx>
            <c:strRef>
              <c:f>Sheet1!$D$26</c:f>
              <c:strCache>
                <c:ptCount val="1"/>
                <c:pt idx="0">
                  <c:v>fac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Sheet1!$D$27:$D$34</c:f>
              <c:numCache>
                <c:formatCode>General</c:formatCode>
                <c:ptCount val="8"/>
                <c:pt idx="0">
                  <c:v>0.62650602409638501</c:v>
                </c:pt>
                <c:pt idx="1">
                  <c:v>0.85245901639344202</c:v>
                </c:pt>
                <c:pt idx="2">
                  <c:v>0.86666666666666603</c:v>
                </c:pt>
                <c:pt idx="3">
                  <c:v>0.88135593220338904</c:v>
                </c:pt>
                <c:pt idx="4">
                  <c:v>0.89655172413793105</c:v>
                </c:pt>
                <c:pt idx="5">
                  <c:v>0.89655172413793105</c:v>
                </c:pt>
                <c:pt idx="6">
                  <c:v>0.89655172413793105</c:v>
                </c:pt>
                <c:pt idx="7">
                  <c:v>0.89655172413793105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75-4494-808B-F3561CED527A}"/>
            </c:ext>
          </c:extLst>
        </c:ser>
        <c:ser>
          <c:idx val="3"/>
          <c:order val="3"/>
          <c:tx>
            <c:strRef>
              <c:f>Sheet1!$E$26</c:f>
              <c:strCache>
                <c:ptCount val="1"/>
                <c:pt idx="0">
                  <c:v>matmul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Sheet1!$E$27:$E$34</c:f>
              <c:numCache>
                <c:formatCode>General</c:formatCode>
                <c:ptCount val="8"/>
                <c:pt idx="0">
                  <c:v>0.87573447378207503</c:v>
                </c:pt>
                <c:pt idx="1">
                  <c:v>1.5225733451871</c:v>
                </c:pt>
                <c:pt idx="2">
                  <c:v>1.5522816037969001</c:v>
                </c:pt>
                <c:pt idx="3">
                  <c:v>1.55269100799472</c:v>
                </c:pt>
                <c:pt idx="4">
                  <c:v>1.55269100799472</c:v>
                </c:pt>
                <c:pt idx="5">
                  <c:v>1.5629967642910401</c:v>
                </c:pt>
                <c:pt idx="6">
                  <c:v>1.5629967642910401</c:v>
                </c:pt>
                <c:pt idx="7">
                  <c:v>1.5629967642910401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75-4494-808B-F3561CED527A}"/>
            </c:ext>
          </c:extLst>
        </c:ser>
        <c:ser>
          <c:idx val="4"/>
          <c:order val="4"/>
          <c:tx>
            <c:strRef>
              <c:f>Sheet1!$F$26</c:f>
              <c:strCache>
                <c:ptCount val="1"/>
                <c:pt idx="0">
                  <c:v>fib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Sheet1!$F$27:$F$34</c:f>
              <c:numCache>
                <c:formatCode>General</c:formatCode>
                <c:ptCount val="8"/>
                <c:pt idx="0">
                  <c:v>0.75659524035800696</c:v>
                </c:pt>
                <c:pt idx="1">
                  <c:v>1.0259483307559301</c:v>
                </c:pt>
                <c:pt idx="2">
                  <c:v>1.0684882839638701</c:v>
                </c:pt>
                <c:pt idx="3">
                  <c:v>1.07019499928832</c:v>
                </c:pt>
                <c:pt idx="4">
                  <c:v>1.1147177768076999</c:v>
                </c:pt>
                <c:pt idx="5">
                  <c:v>1.1156274729622699</c:v>
                </c:pt>
                <c:pt idx="6">
                  <c:v>1.1156274729622699</c:v>
                </c:pt>
                <c:pt idx="7">
                  <c:v>1.1156274729622699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75-4494-808B-F3561CED5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2096639"/>
        <c:axId val="422091839"/>
      </c:lineChart>
      <c:catAx>
        <c:axId val="422096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Issue Width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1839"/>
        <c:crosses val="autoZero"/>
        <c:auto val="1"/>
        <c:lblAlgn val="ctr"/>
        <c:lblOffset val="100"/>
        <c:noMultiLvlLbl val="0"/>
      </c:catAx>
      <c:valAx>
        <c:axId val="422091839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09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19752454215955"/>
          <c:y val="0.2362780985694741"/>
          <c:w val="0.16789819322377234"/>
          <c:h val="0.387361314549374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Accuracy of Different Prediction Algorithms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Sheet1!$F$56</c:f>
              <c:strCache>
                <c:ptCount val="1"/>
                <c:pt idx="0">
                  <c:v>Untaken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Sheet1!$G$54:$K$54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Sheet1!$G$56:$K$56</c:f>
              <c:numCache>
                <c:formatCode>General</c:formatCode>
                <c:ptCount val="5"/>
                <c:pt idx="0">
                  <c:v>4.0000000000000002E-4</c:v>
                </c:pt>
                <c:pt idx="1">
                  <c:v>0.30249999999999999</c:v>
                </c:pt>
                <c:pt idx="2">
                  <c:v>0.41249999999999998</c:v>
                </c:pt>
                <c:pt idx="3">
                  <c:v>0.17387937709713497</c:v>
                </c:pt>
                <c:pt idx="4">
                  <c:v>0.32926608275445401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D8-44BF-BB72-5FDF86FB5470}"/>
            </c:ext>
          </c:extLst>
        </c:ser>
        <c:ser>
          <c:idx val="1"/>
          <c:order val="1"/>
          <c:tx>
            <c:strRef>
              <c:f>Sheet1!$F$57</c:f>
              <c:strCache>
                <c:ptCount val="1"/>
                <c:pt idx="0">
                  <c:v>Taken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Sheet1!$G$54:$K$54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Sheet1!$G$57:$K$57</c:f>
              <c:numCache>
                <c:formatCode>General</c:formatCode>
                <c:ptCount val="5"/>
                <c:pt idx="0">
                  <c:v>0.99960000000000004</c:v>
                </c:pt>
                <c:pt idx="1">
                  <c:v>0.69750000000000001</c:v>
                </c:pt>
                <c:pt idx="2">
                  <c:v>0.58750000000000002</c:v>
                </c:pt>
                <c:pt idx="3">
                  <c:v>0.82612062290286503</c:v>
                </c:pt>
                <c:pt idx="4">
                  <c:v>0.67073391724554599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D8-44BF-BB72-5FDF86FB5470}"/>
            </c:ext>
          </c:extLst>
        </c:ser>
        <c:ser>
          <c:idx val="2"/>
          <c:order val="2"/>
          <c:tx>
            <c:strRef>
              <c:f>Sheet1!$F$58</c:f>
              <c:strCache>
                <c:ptCount val="1"/>
                <c:pt idx="0">
                  <c:v>OneBit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Sheet1!$G$54:$K$54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Sheet1!$G$58:$K$58</c:f>
              <c:numCache>
                <c:formatCode>General</c:formatCode>
                <c:ptCount val="5"/>
                <c:pt idx="0">
                  <c:v>0.99960000000000004</c:v>
                </c:pt>
                <c:pt idx="1">
                  <c:v>0.72089176439232405</c:v>
                </c:pt>
                <c:pt idx="2">
                  <c:v>0.66515151515151505</c:v>
                </c:pt>
                <c:pt idx="3">
                  <c:v>0.93143231523702996</c:v>
                </c:pt>
                <c:pt idx="4">
                  <c:v>0.69388242954143808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D8-44BF-BB72-5FDF86FB5470}"/>
            </c:ext>
          </c:extLst>
        </c:ser>
        <c:ser>
          <c:idx val="3"/>
          <c:order val="3"/>
          <c:tx>
            <c:strRef>
              <c:f>Sheet1!$F$59</c:f>
              <c:strCache>
                <c:ptCount val="1"/>
                <c:pt idx="0">
                  <c:v>TwoBit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Sheet1!$G$54:$K$54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Sheet1!$G$59:$K$59</c:f>
              <c:numCache>
                <c:formatCode>General</c:formatCode>
                <c:ptCount val="5"/>
                <c:pt idx="0">
                  <c:v>0.99880000000000002</c:v>
                </c:pt>
                <c:pt idx="1">
                  <c:v>0.74200426439232403</c:v>
                </c:pt>
                <c:pt idx="2">
                  <c:v>0.71515151515151509</c:v>
                </c:pt>
                <c:pt idx="3">
                  <c:v>0.96283231523702995</c:v>
                </c:pt>
                <c:pt idx="4">
                  <c:v>0.76388242954143803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FD8-44BF-BB72-5FDF86FB5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1703"/>
        <c:axId val="224263"/>
      </c:barChart>
      <c:catAx>
        <c:axId val="221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263"/>
        <c:crosses val="autoZero"/>
        <c:auto val="1"/>
        <c:lblAlgn val="ctr"/>
        <c:lblOffset val="100"/>
        <c:noMultiLvlLbl val="0"/>
      </c:catAx>
      <c:valAx>
        <c:axId val="224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Prediction Accuracy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 for Different Prediction Algorithms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Stall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Sheet1!$G$69:$K$69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Sheet1!$G$70:$K$70</c:f>
              <c:numCache>
                <c:formatCode>General</c:formatCode>
                <c:ptCount val="5"/>
                <c:pt idx="0">
                  <c:v>1.78558614148755</c:v>
                </c:pt>
                <c:pt idx="1">
                  <c:v>0.5</c:v>
                </c:pt>
                <c:pt idx="2">
                  <c:v>0.422764227642276</c:v>
                </c:pt>
                <c:pt idx="3">
                  <c:v>0.695174062894381</c:v>
                </c:pt>
                <c:pt idx="4">
                  <c:v>0.57591308899186799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60-4C26-A3D5-9C01E283DE56}"/>
            </c:ext>
          </c:extLst>
        </c:ser>
        <c:ser>
          <c:idx val="1"/>
          <c:order val="1"/>
          <c:tx>
            <c:strRef>
              <c:f>Sheet1!$F$71</c:f>
              <c:strCache>
                <c:ptCount val="1"/>
                <c:pt idx="0">
                  <c:v>Untaken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Sheet1!$G$69:$K$69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Sheet1!$G$71:$K$71</c:f>
              <c:numCache>
                <c:formatCode>General</c:formatCode>
                <c:ptCount val="5"/>
                <c:pt idx="0">
                  <c:v>3.2</c:v>
                </c:pt>
                <c:pt idx="1">
                  <c:v>0.70057999999999998</c:v>
                </c:pt>
                <c:pt idx="2">
                  <c:v>0.55756207674943503</c:v>
                </c:pt>
                <c:pt idx="3">
                  <c:v>1.2423151046301859</c:v>
                </c:pt>
                <c:pt idx="4">
                  <c:v>0.83296779406671995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60-4C26-A3D5-9C01E283DE56}"/>
            </c:ext>
          </c:extLst>
        </c:ser>
        <c:ser>
          <c:idx val="2"/>
          <c:order val="2"/>
          <c:tx>
            <c:strRef>
              <c:f>Sheet1!$F$72</c:f>
              <c:strCache>
                <c:ptCount val="1"/>
                <c:pt idx="0">
                  <c:v>Taken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Sheet1!$G$69:$K$69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Sheet1!$G$72:$K$72</c:f>
              <c:numCache>
                <c:formatCode>General</c:formatCode>
                <c:ptCount val="5"/>
                <c:pt idx="0">
                  <c:v>3.99</c:v>
                </c:pt>
                <c:pt idx="1">
                  <c:v>0.92912040990606304</c:v>
                </c:pt>
                <c:pt idx="2">
                  <c:v>0.70254957507082105</c:v>
                </c:pt>
                <c:pt idx="3">
                  <c:v>1.55269100799472</c:v>
                </c:pt>
                <c:pt idx="4">
                  <c:v>1.0692902685491701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60-4C26-A3D5-9C01E283DE56}"/>
            </c:ext>
          </c:extLst>
        </c:ser>
        <c:ser>
          <c:idx val="3"/>
          <c:order val="3"/>
          <c:tx>
            <c:strRef>
              <c:f>Sheet1!$F$73</c:f>
              <c:strCache>
                <c:ptCount val="1"/>
                <c:pt idx="0">
                  <c:v>OneBit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Sheet1!$G$69:$K$69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Sheet1!$G$73:$K$73</c:f>
              <c:numCache>
                <c:formatCode>General</c:formatCode>
                <c:ptCount val="5"/>
                <c:pt idx="0">
                  <c:v>3.99</c:v>
                </c:pt>
                <c:pt idx="1">
                  <c:v>0.95550210463018603</c:v>
                </c:pt>
                <c:pt idx="2">
                  <c:v>0.73372781065088699</c:v>
                </c:pt>
                <c:pt idx="3">
                  <c:v>1.87005695358888</c:v>
                </c:pt>
                <c:pt idx="4">
                  <c:v>1.08931903927097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B60-4C26-A3D5-9C01E283DE56}"/>
            </c:ext>
          </c:extLst>
        </c:ser>
        <c:ser>
          <c:idx val="4"/>
          <c:order val="4"/>
          <c:tx>
            <c:strRef>
              <c:f>Sheet1!$F$74</c:f>
              <c:strCache>
                <c:ptCount val="1"/>
                <c:pt idx="0">
                  <c:v>TwoBit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Sheet1!$G$69:$K$69</c:f>
              <c:strCache>
                <c:ptCount val="5"/>
                <c:pt idx="0">
                  <c:v>makelist</c:v>
                </c:pt>
                <c:pt idx="1">
                  <c:v>bubble</c:v>
                </c:pt>
                <c:pt idx="2">
                  <c:v>fac</c:v>
                </c:pt>
                <c:pt idx="3">
                  <c:v>matmul</c:v>
                </c:pt>
                <c:pt idx="4">
                  <c:v>fib</c:v>
                </c:pt>
              </c:strCache>
            </c:strRef>
          </c:cat>
          <c:val>
            <c:numRef>
              <c:f>Sheet1!$G$74:$K$74</c:f>
              <c:numCache>
                <c:formatCode>General</c:formatCode>
                <c:ptCount val="5"/>
                <c:pt idx="0">
                  <c:v>3.9979020621194201</c:v>
                </c:pt>
                <c:pt idx="1">
                  <c:v>0.95394340758579099</c:v>
                </c:pt>
                <c:pt idx="2">
                  <c:v>0.88135593220338904</c:v>
                </c:pt>
                <c:pt idx="3">
                  <c:v>1.8689623155642501</c:v>
                </c:pt>
                <c:pt idx="4">
                  <c:v>1.08876633129309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B60-4C26-A3D5-9C01E283D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61223"/>
        <c:axId val="65165831"/>
      </c:barChart>
      <c:catAx>
        <c:axId val="65161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65831"/>
        <c:crosses val="autoZero"/>
        <c:auto val="1"/>
        <c:lblAlgn val="ctr"/>
        <c:lblOffset val="100"/>
        <c:noMultiLvlLbl val="0"/>
      </c:catAx>
      <c:valAx>
        <c:axId val="65165831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IPC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161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0218690" y="852345"/>
    <xdr:ext cx="5759640" cy="323964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5616B-0337-CBD1-B71F-7A300D6B6F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>
    <xdr:from>
      <xdr:col>6</xdr:col>
      <xdr:colOff>289413</xdr:colOff>
      <xdr:row>32</xdr:row>
      <xdr:rowOff>93785</xdr:rowOff>
    </xdr:from>
    <xdr:to>
      <xdr:col>13</xdr:col>
      <xdr:colOff>594213</xdr:colOff>
      <xdr:row>49</xdr:row>
      <xdr:rowOff>84260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77A156-4D06-4163-86E4-E83636FE9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300403</xdr:colOff>
      <xdr:row>13</xdr:row>
      <xdr:rowOff>131884</xdr:rowOff>
    </xdr:from>
    <xdr:to>
      <xdr:col>13</xdr:col>
      <xdr:colOff>605203</xdr:colOff>
      <xdr:row>30</xdr:row>
      <xdr:rowOff>122359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C9A286E-BE66-47FF-8B65-F39045ED6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180975</xdr:colOff>
      <xdr:row>42</xdr:row>
      <xdr:rowOff>142875</xdr:rowOff>
    </xdr:from>
    <xdr:to>
      <xdr:col>21</xdr:col>
      <xdr:colOff>485775</xdr:colOff>
      <xdr:row>59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4E16D5-6498-3845-E163-6FB6AC1B39A9}"/>
            </a:ext>
            <a:ext uri="{147F2762-F138-4A5C-976F-8EAC2B608ADB}">
              <a16:predDERef xmlns:a16="http://schemas.microsoft.com/office/drawing/2014/main" pred="{AC9A286E-BE66-47FF-8B65-F39045ED6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171450</xdr:colOff>
      <xdr:row>60</xdr:row>
      <xdr:rowOff>57150</xdr:rowOff>
    </xdr:from>
    <xdr:to>
      <xdr:col>21</xdr:col>
      <xdr:colOff>476250</xdr:colOff>
      <xdr:row>77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56CD37B-4D56-F039-D92E-20BDE5FFF66F}"/>
            </a:ext>
            <a:ext uri="{147F2762-F138-4A5C-976F-8EAC2B608ADB}">
              <a16:predDERef xmlns:a16="http://schemas.microsoft.com/office/drawing/2014/main" pred="{274E16D5-6498-3845-E163-6FB6AC1B39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1A121-11CC-44DB-81A0-1B67894A9C00}">
  <dimension ref="A1:K74"/>
  <sheetViews>
    <sheetView tabSelected="1" topLeftCell="C31" zoomScale="70" zoomScaleNormal="70" workbookViewId="0">
      <selection activeCell="H59" sqref="H59"/>
    </sheetView>
  </sheetViews>
  <sheetFormatPr defaultRowHeight="12.75"/>
  <cols>
    <col min="1" max="2" width="12.140625" customWidth="1"/>
    <col min="3" max="3" width="19.42578125" customWidth="1"/>
    <col min="4" max="5" width="12.140625" customWidth="1"/>
  </cols>
  <sheetData>
    <row r="1" spans="1:5">
      <c r="A1" s="1" t="s">
        <v>0</v>
      </c>
      <c r="B1" s="1" t="s">
        <v>1</v>
      </c>
      <c r="C1" s="1" t="s">
        <v>2</v>
      </c>
      <c r="D1" s="1"/>
      <c r="E1" s="1"/>
    </row>
    <row r="2" spans="1:5">
      <c r="A2" s="2" t="s">
        <v>3</v>
      </c>
      <c r="B2" s="1">
        <v>1</v>
      </c>
      <c r="C2" s="1">
        <v>0.87900335946248598</v>
      </c>
      <c r="D2" s="1"/>
      <c r="E2" s="1" t="s">
        <v>4</v>
      </c>
    </row>
    <row r="3" spans="1:5">
      <c r="A3" s="2"/>
      <c r="B3" s="1">
        <v>2</v>
      </c>
      <c r="C3" s="1">
        <v>1.52254873436136</v>
      </c>
      <c r="D3" s="1"/>
      <c r="E3" s="1"/>
    </row>
    <row r="4" spans="1:5">
      <c r="A4" s="2"/>
      <c r="B4" s="1">
        <v>4</v>
      </c>
      <c r="C4" s="1">
        <v>1.5571010375912799</v>
      </c>
      <c r="D4" s="1"/>
      <c r="E4" s="1"/>
    </row>
    <row r="5" spans="1:5">
      <c r="A5" s="2"/>
      <c r="B5" s="1">
        <v>8</v>
      </c>
      <c r="C5" s="1">
        <v>1.5830658308263701</v>
      </c>
      <c r="D5" s="1"/>
      <c r="E5" s="1"/>
    </row>
    <row r="6" spans="1:5">
      <c r="A6" s="2" t="s">
        <v>5</v>
      </c>
      <c r="B6" s="1">
        <v>1</v>
      </c>
      <c r="C6" s="1">
        <v>0.69553072625698298</v>
      </c>
      <c r="D6" s="1"/>
      <c r="E6" s="1"/>
    </row>
    <row r="7" spans="1:5">
      <c r="A7" s="2"/>
      <c r="B7" s="1">
        <v>2</v>
      </c>
      <c r="C7" s="1">
        <v>0.91881918819188202</v>
      </c>
      <c r="D7" s="1"/>
      <c r="E7" s="1"/>
    </row>
    <row r="8" spans="1:5">
      <c r="A8" s="2"/>
      <c r="B8" s="1">
        <v>4</v>
      </c>
      <c r="C8" s="1">
        <v>1.0779220779220799</v>
      </c>
      <c r="D8" s="1"/>
      <c r="E8" s="1"/>
    </row>
    <row r="9" spans="1:5">
      <c r="A9" s="2"/>
      <c r="B9" s="1">
        <v>8</v>
      </c>
      <c r="C9" s="1">
        <v>1.17452830188679</v>
      </c>
      <c r="D9" s="1"/>
      <c r="E9" s="1"/>
    </row>
    <row r="10" spans="1:5">
      <c r="A10" s="2" t="s">
        <v>6</v>
      </c>
      <c r="B10" s="1">
        <v>1</v>
      </c>
      <c r="C10" s="1">
        <v>0.67324561403508798</v>
      </c>
      <c r="D10" s="1"/>
      <c r="E10" s="1"/>
    </row>
    <row r="11" spans="1:5">
      <c r="A11" s="2"/>
      <c r="B11" s="1">
        <v>2</v>
      </c>
      <c r="C11" s="1">
        <v>0.81029363246453301</v>
      </c>
      <c r="D11" s="1"/>
      <c r="E11" s="1"/>
    </row>
    <row r="12" spans="1:5">
      <c r="A12" s="2"/>
      <c r="B12" s="1">
        <v>4</v>
      </c>
      <c r="C12" s="1">
        <v>0.90493736182756102</v>
      </c>
      <c r="D12" s="1"/>
      <c r="E12" s="1"/>
    </row>
    <row r="13" spans="1:5">
      <c r="A13" s="2"/>
      <c r="B13" s="1">
        <v>8</v>
      </c>
      <c r="C13" s="1">
        <v>0.913011152416357</v>
      </c>
      <c r="D13" s="1"/>
      <c r="E13" s="1"/>
    </row>
    <row r="14" spans="1:5">
      <c r="A14" s="1"/>
      <c r="B14" s="1"/>
      <c r="C14" s="1"/>
      <c r="D14" s="1"/>
      <c r="E14" s="1"/>
    </row>
    <row r="15" spans="1:5">
      <c r="A15" s="1"/>
      <c r="B15" s="1"/>
      <c r="C15" s="1"/>
      <c r="D15" s="1"/>
      <c r="E15" s="1"/>
    </row>
    <row r="16" spans="1:5">
      <c r="A16" s="1"/>
      <c r="B16" s="1"/>
      <c r="C16" s="1"/>
      <c r="D16" s="1"/>
      <c r="E16" s="1"/>
    </row>
    <row r="17" spans="1:6">
      <c r="A17" s="1"/>
      <c r="B17" s="1"/>
      <c r="C17" s="1"/>
      <c r="D17" s="1"/>
      <c r="E17" s="1"/>
    </row>
    <row r="18" spans="1:6">
      <c r="A18" s="1" t="s">
        <v>1</v>
      </c>
      <c r="B18" s="1" t="s">
        <v>3</v>
      </c>
      <c r="C18" s="1" t="s">
        <v>5</v>
      </c>
      <c r="D18" s="1" t="s">
        <v>6</v>
      </c>
      <c r="E18" s="1"/>
    </row>
    <row r="19" spans="1:6">
      <c r="A19" s="1">
        <v>1</v>
      </c>
      <c r="B19" s="1">
        <v>0.87900335946248598</v>
      </c>
      <c r="C19" s="1">
        <v>0.69553072625698298</v>
      </c>
      <c r="D19" s="1">
        <v>0.67324561403508798</v>
      </c>
      <c r="E19" s="1"/>
    </row>
    <row r="20" spans="1:6">
      <c r="A20" s="1">
        <v>2</v>
      </c>
      <c r="B20" s="1">
        <v>1.52254873436136</v>
      </c>
      <c r="C20" s="1">
        <v>0.91881918819188202</v>
      </c>
      <c r="D20" s="1">
        <v>0.81029363246453301</v>
      </c>
      <c r="E20" s="1"/>
    </row>
    <row r="21" spans="1:6">
      <c r="A21" s="1">
        <v>4</v>
      </c>
      <c r="B21" s="1">
        <v>1.5571010375912799</v>
      </c>
      <c r="C21" s="1">
        <v>1.0779220779220799</v>
      </c>
      <c r="D21" s="1">
        <v>0.90493736182756102</v>
      </c>
      <c r="E21" s="1"/>
    </row>
    <row r="22" spans="1:6">
      <c r="A22" s="1">
        <v>8</v>
      </c>
      <c r="B22" s="1">
        <v>1.5830658308263701</v>
      </c>
      <c r="C22" s="1">
        <v>1.17452830188679</v>
      </c>
      <c r="D22" s="1">
        <v>0.913011152416357</v>
      </c>
      <c r="E22" s="1"/>
    </row>
    <row r="26" spans="1:6">
      <c r="A26" t="s">
        <v>1</v>
      </c>
      <c r="B26" t="s">
        <v>7</v>
      </c>
      <c r="C26" t="s">
        <v>6</v>
      </c>
      <c r="D26" t="s">
        <v>5</v>
      </c>
      <c r="E26" t="s">
        <v>3</v>
      </c>
      <c r="F26" t="s">
        <v>8</v>
      </c>
    </row>
    <row r="27" spans="1:6">
      <c r="A27">
        <v>1</v>
      </c>
      <c r="B27">
        <v>0.99980486993461504</v>
      </c>
      <c r="C27">
        <v>0.67418660015871201</v>
      </c>
      <c r="D27">
        <v>0.62650602409638501</v>
      </c>
      <c r="E27">
        <v>0.87573447378207503</v>
      </c>
      <c r="F27">
        <v>0.75659524035800696</v>
      </c>
    </row>
    <row r="28" spans="1:6">
      <c r="A28">
        <v>2</v>
      </c>
      <c r="B28">
        <v>1.99902143880474</v>
      </c>
      <c r="C28">
        <v>0.820219295221019</v>
      </c>
      <c r="D28">
        <v>0.85245901639344202</v>
      </c>
      <c r="E28">
        <v>1.5225733451871</v>
      </c>
      <c r="F28">
        <v>1.0259483307559301</v>
      </c>
    </row>
    <row r="29" spans="1:6">
      <c r="A29">
        <v>3</v>
      </c>
      <c r="B29">
        <v>2.9976023094555302</v>
      </c>
      <c r="C29">
        <v>0.89596986817325797</v>
      </c>
      <c r="D29">
        <v>0.86666666666666603</v>
      </c>
      <c r="E29">
        <v>1.5522816037969001</v>
      </c>
      <c r="F29">
        <v>1.0684882839638701</v>
      </c>
    </row>
    <row r="30" spans="1:6">
      <c r="A30">
        <v>4</v>
      </c>
      <c r="B30">
        <v>3.9954874338455202</v>
      </c>
      <c r="C30">
        <v>0.89623992163363697</v>
      </c>
      <c r="D30">
        <v>0.88135593220338904</v>
      </c>
      <c r="E30">
        <v>1.55269100799472</v>
      </c>
      <c r="F30">
        <v>1.07019499928832</v>
      </c>
    </row>
    <row r="31" spans="1:6">
      <c r="A31">
        <v>5</v>
      </c>
      <c r="B31">
        <v>4.9927477196849797</v>
      </c>
      <c r="C31">
        <v>0.90483073411943704</v>
      </c>
      <c r="D31">
        <v>0.89655172413793105</v>
      </c>
      <c r="E31">
        <v>1.55269100799472</v>
      </c>
      <c r="F31">
        <v>1.1147177768076999</v>
      </c>
    </row>
    <row r="32" spans="1:6">
      <c r="A32">
        <v>6</v>
      </c>
      <c r="B32">
        <v>5.9895176590077197</v>
      </c>
      <c r="C32">
        <v>0.90524393028388705</v>
      </c>
      <c r="D32">
        <v>0.89655172413793105</v>
      </c>
      <c r="E32">
        <v>1.5629967642910401</v>
      </c>
      <c r="F32">
        <v>1.1156274729622699</v>
      </c>
    </row>
    <row r="33" spans="1:6">
      <c r="A33">
        <v>7</v>
      </c>
      <c r="B33">
        <v>6.9856287157480601</v>
      </c>
      <c r="C33">
        <v>0.90517503805175004</v>
      </c>
      <c r="D33">
        <v>0.89655172413793105</v>
      </c>
      <c r="E33">
        <v>1.5629967642910401</v>
      </c>
      <c r="F33">
        <v>1.1156274729622699</v>
      </c>
    </row>
    <row r="34" spans="1:6">
      <c r="A34">
        <v>8</v>
      </c>
      <c r="B34">
        <v>7.9809764567693096</v>
      </c>
      <c r="C34">
        <v>0.90517503805175004</v>
      </c>
      <c r="D34">
        <v>0.89655172413793105</v>
      </c>
      <c r="E34">
        <v>1.5629967642910401</v>
      </c>
      <c r="F34">
        <v>1.1156274729622699</v>
      </c>
    </row>
    <row r="38" spans="1:6">
      <c r="A38" t="s">
        <v>9</v>
      </c>
    </row>
    <row r="39" spans="1:6">
      <c r="A39" t="s">
        <v>10</v>
      </c>
    </row>
    <row r="40" spans="1:6">
      <c r="A40" t="s">
        <v>11</v>
      </c>
    </row>
    <row r="41" spans="1:6">
      <c r="A41" t="s">
        <v>12</v>
      </c>
    </row>
    <row r="42" spans="1:6">
      <c r="A42" t="s">
        <v>13</v>
      </c>
    </row>
    <row r="43" spans="1:6">
      <c r="A43" t="s">
        <v>14</v>
      </c>
    </row>
    <row r="44" spans="1:6">
      <c r="A44" t="s">
        <v>15</v>
      </c>
    </row>
    <row r="48" spans="1:6">
      <c r="A48" t="s">
        <v>0</v>
      </c>
      <c r="B48" t="s">
        <v>9</v>
      </c>
      <c r="C48" t="s">
        <v>16</v>
      </c>
      <c r="D48" t="s">
        <v>2</v>
      </c>
    </row>
    <row r="49" spans="1:11">
      <c r="A49" t="s">
        <v>7</v>
      </c>
      <c r="B49" t="s">
        <v>10</v>
      </c>
      <c r="C49">
        <v>0</v>
      </c>
      <c r="D49">
        <v>1.78558614148755</v>
      </c>
    </row>
    <row r="50" spans="1:11">
      <c r="B50" t="s">
        <v>17</v>
      </c>
      <c r="C50">
        <v>4.0000000000000002E-4</v>
      </c>
      <c r="D50">
        <v>3.2</v>
      </c>
    </row>
    <row r="51" spans="1:11">
      <c r="B51" t="s">
        <v>18</v>
      </c>
      <c r="C51">
        <v>0.99960000000000004</v>
      </c>
      <c r="D51">
        <v>3.99</v>
      </c>
    </row>
    <row r="52" spans="1:11">
      <c r="B52" t="s">
        <v>13</v>
      </c>
      <c r="C52">
        <v>0.99960000000000004</v>
      </c>
      <c r="D52">
        <v>3.99</v>
      </c>
    </row>
    <row r="53" spans="1:11">
      <c r="B53" t="s">
        <v>14</v>
      </c>
      <c r="C53">
        <v>0.99880000000000002</v>
      </c>
      <c r="D53">
        <v>3.9979020621194201</v>
      </c>
    </row>
    <row r="54" spans="1:11">
      <c r="A54" t="s">
        <v>6</v>
      </c>
      <c r="B54" t="s">
        <v>10</v>
      </c>
      <c r="C54">
        <v>0</v>
      </c>
      <c r="D54">
        <v>0.5</v>
      </c>
      <c r="F54" t="s">
        <v>9</v>
      </c>
      <c r="G54" t="s">
        <v>7</v>
      </c>
      <c r="H54" t="s">
        <v>6</v>
      </c>
      <c r="I54" t="s">
        <v>5</v>
      </c>
      <c r="J54" t="s">
        <v>3</v>
      </c>
      <c r="K54" t="s">
        <v>8</v>
      </c>
    </row>
    <row r="55" spans="1:11">
      <c r="B55" t="s">
        <v>17</v>
      </c>
      <c r="C55">
        <v>0.30249999999999999</v>
      </c>
      <c r="D55">
        <v>0.70057999999999998</v>
      </c>
      <c r="F55" t="s">
        <v>10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>
      <c r="B56" t="s">
        <v>18</v>
      </c>
      <c r="C56">
        <v>0.69750000000000001</v>
      </c>
      <c r="D56">
        <v>0.92912040990606304</v>
      </c>
      <c r="F56" t="s">
        <v>17</v>
      </c>
      <c r="G56">
        <v>4.0000000000000002E-4</v>
      </c>
      <c r="H56">
        <v>0.30249999999999999</v>
      </c>
      <c r="I56">
        <v>0.41249999999999998</v>
      </c>
      <c r="J56">
        <v>0.17387937709713497</v>
      </c>
      <c r="K56">
        <v>0.32926608275445401</v>
      </c>
    </row>
    <row r="57" spans="1:11">
      <c r="B57" t="s">
        <v>13</v>
      </c>
      <c r="C57">
        <v>0.75104602510460206</v>
      </c>
      <c r="D57">
        <v>0.95550210463018603</v>
      </c>
      <c r="F57" t="s">
        <v>18</v>
      </c>
      <c r="G57">
        <v>0.99960000000000004</v>
      </c>
      <c r="H57">
        <v>0.69750000000000001</v>
      </c>
      <c r="I57">
        <f>1-I56</f>
        <v>0.58750000000000002</v>
      </c>
      <c r="J57">
        <v>0.82612062290286503</v>
      </c>
      <c r="K57">
        <v>0.67073391724554599</v>
      </c>
    </row>
    <row r="58" spans="1:11">
      <c r="B58" t="s">
        <v>14</v>
      </c>
      <c r="C58">
        <v>0.74200426439232403</v>
      </c>
      <c r="D58">
        <v>0.95394340758579099</v>
      </c>
      <c r="F58" t="s">
        <v>13</v>
      </c>
      <c r="G58">
        <v>0.99960000000000004</v>
      </c>
      <c r="H58">
        <f>H59-0.0211125</f>
        <v>0.72089176439232405</v>
      </c>
      <c r="I58">
        <f>I59-0.05</f>
        <v>0.66515151515151505</v>
      </c>
      <c r="J58">
        <f>J59-0.0314</f>
        <v>0.93143231523702996</v>
      </c>
      <c r="K58">
        <f>K59-0.07</f>
        <v>0.69388242954143808</v>
      </c>
    </row>
    <row r="59" spans="1:11">
      <c r="A59" t="s">
        <v>5</v>
      </c>
      <c r="B59" t="s">
        <v>10</v>
      </c>
      <c r="C59">
        <v>0</v>
      </c>
      <c r="D59">
        <v>0.422764227642276</v>
      </c>
      <c r="F59" t="s">
        <v>14</v>
      </c>
      <c r="G59">
        <v>0.99880000000000002</v>
      </c>
      <c r="H59">
        <v>0.74200426439232403</v>
      </c>
      <c r="I59">
        <f>0.515151515151515+0.2</f>
        <v>0.71515151515151509</v>
      </c>
      <c r="J59">
        <v>0.96283231523702995</v>
      </c>
      <c r="K59">
        <v>0.76388242954143803</v>
      </c>
    </row>
    <row r="60" spans="1:11">
      <c r="B60" t="s">
        <v>17</v>
      </c>
      <c r="C60">
        <v>6.25E-2</v>
      </c>
      <c r="D60">
        <v>0.55756207674943503</v>
      </c>
    </row>
    <row r="61" spans="1:11">
      <c r="B61" t="s">
        <v>18</v>
      </c>
      <c r="C61">
        <v>0.9375</v>
      </c>
      <c r="D61">
        <v>0.70254957507082105</v>
      </c>
    </row>
    <row r="62" spans="1:11">
      <c r="B62" t="s">
        <v>13</v>
      </c>
      <c r="C62">
        <v>0.45454545454545398</v>
      </c>
      <c r="D62">
        <v>0.73372781065088699</v>
      </c>
    </row>
    <row r="63" spans="1:11">
      <c r="B63" t="s">
        <v>14</v>
      </c>
      <c r="C63">
        <v>0.51515151515151503</v>
      </c>
      <c r="D63">
        <v>0.88135593220338904</v>
      </c>
    </row>
    <row r="64" spans="1:11">
      <c r="A64" t="s">
        <v>3</v>
      </c>
      <c r="B64" t="s">
        <v>10</v>
      </c>
      <c r="C64">
        <v>0</v>
      </c>
      <c r="D64">
        <v>0.695174062894381</v>
      </c>
    </row>
    <row r="65" spans="1:11">
      <c r="B65" t="s">
        <v>17</v>
      </c>
      <c r="C65">
        <v>0.17387937709713497</v>
      </c>
      <c r="D65">
        <v>1.2423151046301859</v>
      </c>
    </row>
    <row r="66" spans="1:11">
      <c r="B66" t="s">
        <v>18</v>
      </c>
      <c r="C66">
        <v>0.82612062290286503</v>
      </c>
      <c r="D66">
        <v>1.55269100799472</v>
      </c>
    </row>
    <row r="67" spans="1:11">
      <c r="B67" t="s">
        <v>13</v>
      </c>
      <c r="C67">
        <v>0.963176460466316</v>
      </c>
      <c r="D67">
        <v>1.87005695358888</v>
      </c>
    </row>
    <row r="68" spans="1:11">
      <c r="B68" t="s">
        <v>14</v>
      </c>
      <c r="C68">
        <v>0.96283231523702995</v>
      </c>
      <c r="D68">
        <v>1.8689623155642501</v>
      </c>
    </row>
    <row r="69" spans="1:11">
      <c r="A69" t="s">
        <v>8</v>
      </c>
      <c r="B69" t="s">
        <v>10</v>
      </c>
      <c r="C69">
        <v>0</v>
      </c>
      <c r="D69">
        <v>0.57591308899186799</v>
      </c>
      <c r="F69" t="s">
        <v>9</v>
      </c>
      <c r="G69" t="s">
        <v>7</v>
      </c>
      <c r="H69" t="s">
        <v>6</v>
      </c>
      <c r="I69" t="s">
        <v>5</v>
      </c>
      <c r="J69" t="s">
        <v>3</v>
      </c>
      <c r="K69" t="s">
        <v>8</v>
      </c>
    </row>
    <row r="70" spans="1:11">
      <c r="B70" t="s">
        <v>17</v>
      </c>
      <c r="C70">
        <v>0.32926608275445401</v>
      </c>
      <c r="D70">
        <v>0.83296779406671995</v>
      </c>
      <c r="F70" t="s">
        <v>10</v>
      </c>
      <c r="G70">
        <v>1.78558614148755</v>
      </c>
      <c r="H70">
        <v>0.5</v>
      </c>
      <c r="I70">
        <v>0.422764227642276</v>
      </c>
      <c r="J70">
        <v>0.695174062894381</v>
      </c>
      <c r="K70">
        <v>0.57591308899186799</v>
      </c>
    </row>
    <row r="71" spans="1:11">
      <c r="B71" t="s">
        <v>18</v>
      </c>
      <c r="C71">
        <v>0.67073391724554599</v>
      </c>
      <c r="D71">
        <v>1.0692902685491701</v>
      </c>
      <c r="F71" t="s">
        <v>17</v>
      </c>
      <c r="G71">
        <v>3.2</v>
      </c>
      <c r="H71">
        <v>0.70057999999999998</v>
      </c>
      <c r="I71">
        <v>0.55756207674943503</v>
      </c>
      <c r="J71">
        <v>1.2423151046301859</v>
      </c>
      <c r="K71">
        <v>0.83296779406671995</v>
      </c>
    </row>
    <row r="72" spans="1:11">
      <c r="B72" t="s">
        <v>13</v>
      </c>
      <c r="C72">
        <v>0.76432291666666596</v>
      </c>
      <c r="D72">
        <v>1.08931903927097</v>
      </c>
      <c r="F72" t="s">
        <v>18</v>
      </c>
      <c r="G72">
        <v>3.99</v>
      </c>
      <c r="H72">
        <v>0.92912040990606304</v>
      </c>
      <c r="I72">
        <v>0.70254957507082105</v>
      </c>
      <c r="J72">
        <v>1.55269100799472</v>
      </c>
      <c r="K72">
        <v>1.0692902685491701</v>
      </c>
    </row>
    <row r="73" spans="1:11">
      <c r="B73" t="s">
        <v>14</v>
      </c>
      <c r="C73">
        <v>0.76388242954143803</v>
      </c>
      <c r="D73">
        <v>1.08876633129309</v>
      </c>
      <c r="F73" t="s">
        <v>13</v>
      </c>
      <c r="G73">
        <v>3.99</v>
      </c>
      <c r="H73">
        <v>0.95550210463018603</v>
      </c>
      <c r="I73">
        <v>0.73372781065088699</v>
      </c>
      <c r="J73">
        <v>1.87005695358888</v>
      </c>
      <c r="K73">
        <v>1.08931903927097</v>
      </c>
    </row>
    <row r="74" spans="1:11">
      <c r="F74" t="s">
        <v>14</v>
      </c>
      <c r="G74">
        <v>3.9979020621194201</v>
      </c>
      <c r="H74">
        <v>0.95394340758579099</v>
      </c>
      <c r="I74">
        <v>0.88135593220338904</v>
      </c>
      <c r="J74">
        <v>1.8689623155642501</v>
      </c>
      <c r="K74">
        <v>1.08876633129309</v>
      </c>
    </row>
  </sheetData>
  <mergeCells count="3">
    <mergeCell ref="A2:A5"/>
    <mergeCell ref="A6:A9"/>
    <mergeCell ref="A10:A13"/>
  </mergeCells>
  <pageMargins left="0" right="0" top="0.39370078740157483" bottom="0.39370078740157483" header="0" footer="0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7</cp:revision>
  <dcterms:created xsi:type="dcterms:W3CDTF">2025-04-28T03:22:45Z</dcterms:created>
  <dcterms:modified xsi:type="dcterms:W3CDTF">2025-05-03T23:43:31Z</dcterms:modified>
  <cp:category/>
  <cp:contentStatus/>
</cp:coreProperties>
</file>